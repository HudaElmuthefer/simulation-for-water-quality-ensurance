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sarcc\Desktop\project\"/>
    </mc:Choice>
  </mc:AlternateContent>
  <xr:revisionPtr revIDLastSave="0" documentId="13_ncr:1_{B4AC5972-8FE2-4563-9862-5974740E8A99}" xr6:coauthVersionLast="47" xr6:coauthVersionMax="47" xr10:uidLastSave="{00000000-0000-0000-0000-000000000000}"/>
  <bookViews>
    <workbookView xWindow="1950" yWindow="1950" windowWidth="15375" windowHeight="7875" xr2:uid="{1A8090D1-DB20-4DC5-9E71-646438DB35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<sst xmlns="http://schemas.openxmlformats.org/spreadsheetml/2006/main" count="101" uniqueCount="67">
  <si>
    <t xml:space="preserve">الشهر </t>
  </si>
  <si>
    <t>PH</t>
  </si>
  <si>
    <t>Temp.</t>
  </si>
  <si>
    <t>DO</t>
  </si>
  <si>
    <t>PO4</t>
  </si>
  <si>
    <t>NO3</t>
  </si>
  <si>
    <t>Ca</t>
  </si>
  <si>
    <t>Mg</t>
  </si>
  <si>
    <t>TH</t>
  </si>
  <si>
    <t>K</t>
  </si>
  <si>
    <t>Na</t>
  </si>
  <si>
    <t>SO4</t>
  </si>
  <si>
    <t>CL</t>
  </si>
  <si>
    <t>TDS</t>
  </si>
  <si>
    <t>E.c</t>
  </si>
  <si>
    <t>ALK</t>
  </si>
  <si>
    <t>TUR</t>
  </si>
  <si>
    <t>ايار</t>
  </si>
  <si>
    <t>معدل ايار</t>
  </si>
  <si>
    <t>حزيران</t>
  </si>
  <si>
    <t xml:space="preserve">معدل حزيران </t>
  </si>
  <si>
    <t>تموز</t>
  </si>
  <si>
    <t xml:space="preserve">معدل تموز </t>
  </si>
  <si>
    <t>اب</t>
  </si>
  <si>
    <t xml:space="preserve">معدل اب </t>
  </si>
  <si>
    <t>ايلول</t>
  </si>
  <si>
    <t xml:space="preserve">معدل ايلول </t>
  </si>
  <si>
    <t>تشرين 1</t>
  </si>
  <si>
    <t>معدل تشرين 1</t>
  </si>
  <si>
    <t>تشرين 2</t>
  </si>
  <si>
    <t>معدل ت2</t>
  </si>
  <si>
    <t>كانون1</t>
  </si>
  <si>
    <t>معدل ك1</t>
  </si>
  <si>
    <t>سنة 2023</t>
  </si>
  <si>
    <t>كانون الثاني -</t>
  </si>
  <si>
    <t>معدل ك2</t>
  </si>
  <si>
    <t>شباط</t>
  </si>
  <si>
    <t>معدل شباط</t>
  </si>
  <si>
    <t xml:space="preserve">اذار </t>
  </si>
  <si>
    <t xml:space="preserve">معدل اذار </t>
  </si>
  <si>
    <t>نيسان</t>
  </si>
  <si>
    <t>معدل نيسان</t>
  </si>
  <si>
    <t xml:space="preserve">ايار </t>
  </si>
  <si>
    <t xml:space="preserve">معدل ايار </t>
  </si>
  <si>
    <t xml:space="preserve">حزيران </t>
  </si>
  <si>
    <t>T.P.C</t>
  </si>
  <si>
    <t>coliform</t>
  </si>
  <si>
    <t>E.coli</t>
  </si>
  <si>
    <t>كانون الثاني-2022</t>
  </si>
  <si>
    <t>شباط-2022</t>
  </si>
  <si>
    <t>اذار - 2022</t>
  </si>
  <si>
    <t>نيسان - 2022</t>
  </si>
  <si>
    <t>ايار - 2022</t>
  </si>
  <si>
    <t>حزيران - 2022</t>
  </si>
  <si>
    <t>تموز - 2022</t>
  </si>
  <si>
    <t>اب - 2022</t>
  </si>
  <si>
    <t>ايلول - 2022</t>
  </si>
  <si>
    <t>تشرين الاول - 2022</t>
  </si>
  <si>
    <t>تشرين الثاني - 2022</t>
  </si>
  <si>
    <t>كانون الاول - 2022</t>
  </si>
  <si>
    <t>كانون الثاني - 2023</t>
  </si>
  <si>
    <t>شباط - 2023</t>
  </si>
  <si>
    <t>اذار - 2023</t>
  </si>
  <si>
    <t>نيسان - 2023</t>
  </si>
  <si>
    <t>ايار - 2023</t>
  </si>
  <si>
    <t>حزيران - 2023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</si>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</sst>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2" fontId="0" fillId="2" borderId="1" xfId="0" applyNumberFormat="1" applyFill="1" applyBorder="1"/>
    <xf numFmtId="2" fontId="0" fillId="0" borderId="0" xfId="0" applyNumberFormat="1"/>
    <xf numFmtId="2" fontId="0" fillId="2" borderId="2" xfId="0" applyNumberFormat="1" applyFill="1" applyBorder="1"/>
    <xf numFmtId="2" fontId="0" fillId="0" borderId="4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1" xfId="0" applyNumberFormat="1" applyBorder="1"/>
    <xf numFmtId="2" fontId="0" fillId="0" borderId="8" xfId="0" applyNumberFormat="1" applyBorder="1"/>
    <xf numFmtId="2" fontId="0" fillId="0" borderId="14" xfId="0" applyNumberFormat="1" applyBorder="1"/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7354-BEA1-4102-937E-7D878F9F4032}">
  <dimension ref="A1:T19"/>
  <sheetViews>
    <sheetView tabSelected="1" workbookViewId="0">
      <selection activeCell="C8" sqref="C8"/>
    </sheetView>
  </sheetViews>
  <sheetFormatPr defaultRowHeight="15" x14ac:dyDescent="0.25"/>
  <cols>
    <col min="2" max="2" width="9.140625" style="11"/>
  </cols>
  <sheetData>
    <row r="1" spans="1:20" ht="16.5" thickTop="1" thickBot="1" x14ac:dyDescent="0.3">
      <c r="A1" s="1" t="s">
        <v>66</v>
      </c>
      <c r="B1" s="10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45</v>
      </c>
      <c r="S1" s="7" t="s">
        <v>46</v>
      </c>
      <c r="T1" s="7" t="s">
        <v>47</v>
      </c>
    </row>
    <row r="2" spans="1:20" ht="16.5" thickTop="1" thickBot="1" x14ac:dyDescent="0.3">
      <c r="A2" s="8" t="s">
        <v>48</v>
      </c>
      <c r="B2" s="18">
        <v>8.1</v>
      </c>
      <c r="C2" s="8">
        <v>6.2</v>
      </c>
      <c r="D2" s="8">
        <v>10.154999999999999</v>
      </c>
      <c r="E2" s="8">
        <v>0.08</v>
      </c>
      <c r="F2" s="8">
        <v>1.05</v>
      </c>
      <c r="G2" s="8">
        <v>240</v>
      </c>
      <c r="H2" s="8">
        <v>125</v>
      </c>
      <c r="I2" s="8">
        <v>1100</v>
      </c>
      <c r="J2" s="8">
        <v>25</v>
      </c>
      <c r="K2" s="8">
        <v>789</v>
      </c>
      <c r="L2" s="8">
        <v>857.5</v>
      </c>
      <c r="M2" s="8">
        <v>1075</v>
      </c>
      <c r="N2" s="8">
        <v>3270</v>
      </c>
      <c r="O2" s="8">
        <v>5680</v>
      </c>
      <c r="P2" s="8">
        <v>220</v>
      </c>
      <c r="Q2" s="8">
        <v>5.5</v>
      </c>
      <c r="R2" s="9">
        <v>350</v>
      </c>
      <c r="S2" s="9">
        <v>90</v>
      </c>
      <c r="T2" s="9">
        <v>90</v>
      </c>
    </row>
    <row r="3" spans="1:20" ht="15.75" thickBot="1" x14ac:dyDescent="0.3">
      <c r="A3" s="3" t="s">
        <v>49</v>
      </c>
      <c r="B3" s="13">
        <v>8.3000000000000007</v>
      </c>
      <c r="C3" s="3">
        <v>8.4</v>
      </c>
      <c r="D3" s="3">
        <v>11.8</v>
      </c>
      <c r="E3" s="3">
        <v>0.06</v>
      </c>
      <c r="F3" s="3">
        <v>1.25</v>
      </c>
      <c r="G3" s="3">
        <v>284</v>
      </c>
      <c r="H3" s="3">
        <v>132.5</v>
      </c>
      <c r="I3" s="3">
        <v>1240</v>
      </c>
      <c r="J3" s="3">
        <v>21</v>
      </c>
      <c r="K3" s="3">
        <v>890</v>
      </c>
      <c r="L3" s="3">
        <v>920</v>
      </c>
      <c r="M3" s="3">
        <v>1230</v>
      </c>
      <c r="N3" s="3">
        <v>3645</v>
      </c>
      <c r="O3" s="3">
        <v>6340</v>
      </c>
      <c r="P3" s="3">
        <v>210</v>
      </c>
      <c r="Q3" s="3">
        <v>16.5</v>
      </c>
      <c r="R3" s="9">
        <v>350</v>
      </c>
      <c r="S3" s="9">
        <v>90</v>
      </c>
      <c r="T3" s="9">
        <v>90</v>
      </c>
    </row>
    <row r="4" spans="1:20" ht="15.75" thickBot="1" x14ac:dyDescent="0.3">
      <c r="A4" s="3" t="s">
        <v>50</v>
      </c>
      <c r="B4" s="13">
        <v>8.4</v>
      </c>
      <c r="C4" s="3">
        <v>12.9</v>
      </c>
      <c r="D4" s="3">
        <v>8.6999999999999993</v>
      </c>
      <c r="E4" s="3">
        <v>0.105</v>
      </c>
      <c r="F4" s="3">
        <v>1.1499999999999999</v>
      </c>
      <c r="G4" s="3">
        <v>304</v>
      </c>
      <c r="H4" s="3">
        <v>175</v>
      </c>
      <c r="I4" s="3">
        <v>1460</v>
      </c>
      <c r="J4" s="3">
        <v>25</v>
      </c>
      <c r="K4" s="3">
        <v>909</v>
      </c>
      <c r="L4" s="3">
        <v>888</v>
      </c>
      <c r="M4" s="3">
        <v>1080</v>
      </c>
      <c r="N4" s="3">
        <v>3540</v>
      </c>
      <c r="O4" s="3">
        <v>36270</v>
      </c>
      <c r="P4" s="3">
        <v>220</v>
      </c>
      <c r="Q4" s="3">
        <v>30</v>
      </c>
      <c r="R4" s="9">
        <v>350</v>
      </c>
      <c r="S4" s="9">
        <v>90</v>
      </c>
      <c r="T4" s="9">
        <v>90</v>
      </c>
    </row>
    <row r="5" spans="1:20" ht="15.75" thickBot="1" x14ac:dyDescent="0.3">
      <c r="A5" s="3" t="s">
        <v>51</v>
      </c>
      <c r="B5" s="13">
        <f>(8.5+8.1)/2</f>
        <v>8.3000000000000007</v>
      </c>
      <c r="C5" s="3">
        <f>(15+15.5)/2</f>
        <v>15.25</v>
      </c>
      <c r="D5" s="3">
        <f>(9.3+7.1)/2</f>
        <v>8.1999999999999993</v>
      </c>
      <c r="E5" s="3">
        <f>(0.07+0.03)/2</f>
        <v>0.05</v>
      </c>
      <c r="F5" s="3">
        <f>(1.8+1.4)/2</f>
        <v>1.6</v>
      </c>
      <c r="G5" s="3">
        <f>(240+224)/2</f>
        <v>232</v>
      </c>
      <c r="H5" s="3">
        <f>(100+130)/2</f>
        <v>115</v>
      </c>
      <c r="I5" s="3">
        <f>(1120+960)/2</f>
        <v>1040</v>
      </c>
      <c r="J5" s="3">
        <f>(18.6+23)/2</f>
        <v>20.8</v>
      </c>
      <c r="K5" s="3">
        <f>(770+656)/2</f>
        <v>713</v>
      </c>
      <c r="L5" s="3">
        <f>(700+700)/2</f>
        <v>700</v>
      </c>
      <c r="M5" s="3">
        <f>(950+870)/2</f>
        <v>910</v>
      </c>
      <c r="N5" s="3">
        <f>(2740+2960)/2</f>
        <v>2850</v>
      </c>
      <c r="O5" s="3">
        <f>(5280+4800)/2</f>
        <v>5040</v>
      </c>
      <c r="P5" s="3">
        <f>(240+200)/2</f>
        <v>220</v>
      </c>
      <c r="Q5" s="3">
        <f>(19+27)/2</f>
        <v>23</v>
      </c>
      <c r="R5" s="9">
        <v>220</v>
      </c>
      <c r="S5" s="9">
        <v>70</v>
      </c>
      <c r="T5" s="9">
        <v>70</v>
      </c>
    </row>
    <row r="6" spans="1:20" ht="15.75" thickBot="1" x14ac:dyDescent="0.3">
      <c r="A6" s="3" t="s">
        <v>52</v>
      </c>
      <c r="B6" s="13">
        <v>8.3500000000000014</v>
      </c>
      <c r="C6" s="3">
        <v>16.55</v>
      </c>
      <c r="D6" s="3">
        <v>7.4</v>
      </c>
      <c r="E6" s="3">
        <v>0.04</v>
      </c>
      <c r="F6" s="3">
        <v>0.95</v>
      </c>
      <c r="G6" s="3">
        <v>368</v>
      </c>
      <c r="H6" s="3">
        <v>220</v>
      </c>
      <c r="I6" s="3">
        <v>1800</v>
      </c>
      <c r="J6" s="3">
        <v>20.5</v>
      </c>
      <c r="K6" s="3">
        <v>880</v>
      </c>
      <c r="L6" s="3">
        <v>938</v>
      </c>
      <c r="M6" s="3">
        <v>1030</v>
      </c>
      <c r="N6" s="3">
        <v>3624.5</v>
      </c>
      <c r="O6" s="3">
        <v>6305</v>
      </c>
      <c r="P6" s="3">
        <v>220</v>
      </c>
      <c r="Q6" s="3">
        <v>31.5</v>
      </c>
      <c r="R6" s="9">
        <v>220</v>
      </c>
      <c r="S6" s="9">
        <v>70</v>
      </c>
      <c r="T6" s="9">
        <v>70</v>
      </c>
    </row>
    <row r="7" spans="1:20" ht="15.75" thickBot="1" x14ac:dyDescent="0.3">
      <c r="A7" s="3" t="s">
        <v>53</v>
      </c>
      <c r="B7" s="13">
        <v>8.5</v>
      </c>
      <c r="C7" s="3">
        <v>16.149999999999999</v>
      </c>
      <c r="D7" s="3">
        <v>8.3000000000000007</v>
      </c>
      <c r="E7" s="3">
        <v>0.15</v>
      </c>
      <c r="F7" s="3">
        <v>1.7</v>
      </c>
      <c r="G7" s="3">
        <v>336</v>
      </c>
      <c r="H7" s="3">
        <v>220</v>
      </c>
      <c r="I7" s="3">
        <v>1720</v>
      </c>
      <c r="J7" s="3">
        <v>30</v>
      </c>
      <c r="K7" s="3">
        <v>997</v>
      </c>
      <c r="L7" s="3">
        <v>1060</v>
      </c>
      <c r="M7" s="3">
        <v>1187.5</v>
      </c>
      <c r="N7" s="3">
        <v>3995</v>
      </c>
      <c r="O7" s="3">
        <v>6970</v>
      </c>
      <c r="P7" s="3">
        <v>220</v>
      </c>
      <c r="Q7" s="3">
        <v>33.5</v>
      </c>
      <c r="R7" s="9">
        <v>220</v>
      </c>
      <c r="S7" s="9">
        <v>70</v>
      </c>
      <c r="T7" s="9">
        <v>70</v>
      </c>
    </row>
    <row r="8" spans="1:20" ht="15.75" thickBot="1" x14ac:dyDescent="0.3">
      <c r="A8" s="3" t="s">
        <v>54</v>
      </c>
      <c r="B8" s="13">
        <v>8.35</v>
      </c>
      <c r="C8" s="3">
        <v>19.5</v>
      </c>
      <c r="D8" s="3">
        <v>8.25</v>
      </c>
      <c r="E8" s="3">
        <v>0.08</v>
      </c>
      <c r="F8" s="3">
        <v>1.05</v>
      </c>
      <c r="G8" s="3">
        <v>192</v>
      </c>
      <c r="H8" s="3">
        <v>120</v>
      </c>
      <c r="I8" s="3">
        <v>960</v>
      </c>
      <c r="J8" s="3">
        <v>29</v>
      </c>
      <c r="K8" s="3">
        <v>803</v>
      </c>
      <c r="L8" s="3">
        <v>779.5</v>
      </c>
      <c r="M8" s="3">
        <v>1010</v>
      </c>
      <c r="N8" s="3">
        <v>3090</v>
      </c>
      <c r="O8" s="3">
        <v>5425</v>
      </c>
      <c r="P8" s="3">
        <v>200</v>
      </c>
      <c r="Q8" s="3">
        <v>29.5</v>
      </c>
      <c r="R8" s="9">
        <v>240</v>
      </c>
      <c r="S8" s="9">
        <v>90</v>
      </c>
      <c r="T8" s="9">
        <v>90</v>
      </c>
    </row>
    <row r="9" spans="1:20" ht="15.75" thickBot="1" x14ac:dyDescent="0.3">
      <c r="A9" s="3" t="s">
        <v>55</v>
      </c>
      <c r="B9" s="13">
        <v>8.1999999999999993</v>
      </c>
      <c r="C9" s="3">
        <v>23.2</v>
      </c>
      <c r="D9" s="3">
        <v>7.6999999999999993</v>
      </c>
      <c r="E9" s="3">
        <v>6.5000000000000002E-2</v>
      </c>
      <c r="F9" s="3">
        <v>1.05</v>
      </c>
      <c r="G9" s="3">
        <v>89.4</v>
      </c>
      <c r="H9" s="3">
        <v>125</v>
      </c>
      <c r="I9" s="3">
        <v>980</v>
      </c>
      <c r="J9" s="3">
        <v>17.5</v>
      </c>
      <c r="K9" s="3">
        <v>659</v>
      </c>
      <c r="L9" s="3">
        <v>685</v>
      </c>
      <c r="M9" s="3">
        <v>725</v>
      </c>
      <c r="N9" s="3">
        <v>2530</v>
      </c>
      <c r="O9" s="3">
        <v>4369</v>
      </c>
      <c r="P9" s="3">
        <v>170</v>
      </c>
      <c r="Q9" s="3">
        <v>19</v>
      </c>
      <c r="R9" s="9">
        <v>240</v>
      </c>
      <c r="S9" s="9">
        <v>90</v>
      </c>
      <c r="T9" s="9">
        <v>90</v>
      </c>
    </row>
    <row r="10" spans="1:20" ht="15.75" thickBot="1" x14ac:dyDescent="0.3">
      <c r="A10" s="3" t="s">
        <v>56</v>
      </c>
      <c r="B10" s="13">
        <v>8.3000000000000007</v>
      </c>
      <c r="C10" s="3">
        <v>21.05</v>
      </c>
      <c r="D10" s="3">
        <v>8.2349999999999994</v>
      </c>
      <c r="E10" s="3">
        <v>7.1999999999999995E-2</v>
      </c>
      <c r="F10" s="3">
        <v>1.42</v>
      </c>
      <c r="G10" s="3">
        <v>152</v>
      </c>
      <c r="H10" s="3">
        <v>80</v>
      </c>
      <c r="I10" s="3">
        <v>700</v>
      </c>
      <c r="J10" s="3">
        <v>19.5</v>
      </c>
      <c r="K10" s="3">
        <v>568</v>
      </c>
      <c r="L10" s="3">
        <v>636.5</v>
      </c>
      <c r="M10" s="3">
        <v>676</v>
      </c>
      <c r="N10" s="3">
        <v>2298</v>
      </c>
      <c r="O10" s="3">
        <v>3965</v>
      </c>
      <c r="P10" s="3">
        <v>230</v>
      </c>
      <c r="Q10" s="3">
        <v>43.5</v>
      </c>
      <c r="R10" s="9">
        <v>240</v>
      </c>
      <c r="S10" s="9">
        <v>90</v>
      </c>
      <c r="T10" s="9">
        <v>90</v>
      </c>
    </row>
    <row r="11" spans="1:20" ht="15.75" thickBot="1" x14ac:dyDescent="0.3">
      <c r="A11" s="3" t="s">
        <v>57</v>
      </c>
      <c r="B11" s="13">
        <v>8</v>
      </c>
      <c r="C11" s="3">
        <v>19.2</v>
      </c>
      <c r="D11" s="3">
        <v>9.35</v>
      </c>
      <c r="E11" s="3">
        <v>6.0000000000000005E-2</v>
      </c>
      <c r="F11" s="3">
        <v>1.4500000000000002</v>
      </c>
      <c r="G11" s="3">
        <v>176</v>
      </c>
      <c r="H11" s="3">
        <v>90</v>
      </c>
      <c r="I11" s="3">
        <v>800</v>
      </c>
      <c r="J11" s="3">
        <v>17.100000000000001</v>
      </c>
      <c r="K11" s="3">
        <v>542.5</v>
      </c>
      <c r="L11" s="3">
        <v>537</v>
      </c>
      <c r="M11" s="3">
        <v>575</v>
      </c>
      <c r="N11" s="3">
        <v>2077.5</v>
      </c>
      <c r="O11" s="3">
        <v>3715</v>
      </c>
      <c r="P11" s="3">
        <v>200</v>
      </c>
      <c r="Q11" s="3">
        <v>30</v>
      </c>
      <c r="R11" s="9">
        <v>280</v>
      </c>
      <c r="S11" s="9">
        <v>90</v>
      </c>
      <c r="T11" s="9">
        <v>90</v>
      </c>
    </row>
    <row r="12" spans="1:20" ht="16.5" thickTop="1" thickBot="1" x14ac:dyDescent="0.3">
      <c r="A12" s="3" t="s">
        <v>58</v>
      </c>
      <c r="B12" s="13">
        <v>7.1999999999999993</v>
      </c>
      <c r="C12" s="3">
        <v>18</v>
      </c>
      <c r="D12" s="3">
        <v>8.25</v>
      </c>
      <c r="E12" s="3">
        <v>3.5000000000000003E-2</v>
      </c>
      <c r="F12" s="3">
        <v>1.1499999999999999</v>
      </c>
      <c r="G12" s="3">
        <v>168</v>
      </c>
      <c r="H12" s="3">
        <v>115</v>
      </c>
      <c r="I12" s="3">
        <v>880</v>
      </c>
      <c r="J12" s="3">
        <v>20.25</v>
      </c>
      <c r="K12" s="3">
        <v>585</v>
      </c>
      <c r="L12" s="3">
        <v>627</v>
      </c>
      <c r="M12" s="3">
        <v>672.5</v>
      </c>
      <c r="N12" s="3">
        <v>2340</v>
      </c>
      <c r="O12" s="3">
        <v>4010</v>
      </c>
      <c r="P12" s="3">
        <v>210</v>
      </c>
      <c r="Q12" s="3">
        <v>8.5</v>
      </c>
      <c r="R12" s="9">
        <v>280</v>
      </c>
      <c r="S12" s="9">
        <v>90</v>
      </c>
      <c r="T12" s="9">
        <v>90</v>
      </c>
    </row>
    <row r="13" spans="1:20" ht="15.75" thickBot="1" x14ac:dyDescent="0.3">
      <c r="A13" s="3" t="s">
        <v>59</v>
      </c>
      <c r="B13" s="13">
        <v>7.1</v>
      </c>
      <c r="C13" s="3">
        <v>12.35</v>
      </c>
      <c r="D13" s="3">
        <v>10.15</v>
      </c>
      <c r="E13" s="3">
        <v>2.5000000000000001E-2</v>
      </c>
      <c r="F13" s="3">
        <v>2</v>
      </c>
      <c r="G13" s="3">
        <v>200</v>
      </c>
      <c r="H13" s="3">
        <v>80</v>
      </c>
      <c r="I13" s="3">
        <v>820</v>
      </c>
      <c r="J13" s="3">
        <v>18</v>
      </c>
      <c r="K13" s="3">
        <v>538.5</v>
      </c>
      <c r="L13" s="3">
        <v>730</v>
      </c>
      <c r="M13" s="3">
        <v>705</v>
      </c>
      <c r="N13" s="3">
        <v>2427.5</v>
      </c>
      <c r="O13" s="3">
        <v>4220</v>
      </c>
      <c r="P13" s="3">
        <v>220</v>
      </c>
      <c r="Q13" s="3">
        <v>37.5</v>
      </c>
      <c r="R13" s="9">
        <v>280</v>
      </c>
      <c r="S13" s="9">
        <v>90</v>
      </c>
      <c r="T13" s="9">
        <v>90</v>
      </c>
    </row>
    <row r="14" spans="1:20" ht="15.75" thickBot="1" x14ac:dyDescent="0.3">
      <c r="A14" s="3" t="s">
        <v>60</v>
      </c>
      <c r="B14" s="13">
        <v>7.05</v>
      </c>
      <c r="C14" s="3">
        <v>9.35</v>
      </c>
      <c r="D14" s="3">
        <v>10.15</v>
      </c>
      <c r="E14" s="3">
        <v>5.5E-2</v>
      </c>
      <c r="F14" s="3">
        <v>1.73</v>
      </c>
      <c r="G14" s="3">
        <v>168</v>
      </c>
      <c r="H14" s="3">
        <v>100</v>
      </c>
      <c r="I14" s="3">
        <v>820</v>
      </c>
      <c r="J14" s="3">
        <v>22</v>
      </c>
      <c r="K14" s="3">
        <v>475</v>
      </c>
      <c r="L14" s="3">
        <v>565.5</v>
      </c>
      <c r="M14" s="3">
        <v>700</v>
      </c>
      <c r="N14" s="3">
        <v>2167.5</v>
      </c>
      <c r="O14" s="3">
        <v>3785</v>
      </c>
      <c r="P14" s="3">
        <v>190</v>
      </c>
      <c r="Q14" s="3">
        <v>12</v>
      </c>
      <c r="R14" s="9">
        <v>150</v>
      </c>
      <c r="S14" s="9">
        <v>90</v>
      </c>
      <c r="T14" s="9">
        <v>90</v>
      </c>
    </row>
    <row r="15" spans="1:20" ht="15.75" thickBot="1" x14ac:dyDescent="0.3">
      <c r="A15" s="3" t="s">
        <v>61</v>
      </c>
      <c r="B15" s="13">
        <v>7.1</v>
      </c>
      <c r="C15" s="3">
        <v>9.1</v>
      </c>
      <c r="D15" s="3">
        <v>9.0500000000000007</v>
      </c>
      <c r="E15" s="3">
        <v>2.5000000000000001E-2</v>
      </c>
      <c r="F15" s="3">
        <v>1.65</v>
      </c>
      <c r="G15" s="3">
        <v>184</v>
      </c>
      <c r="H15" s="3">
        <v>120</v>
      </c>
      <c r="I15" s="3">
        <v>890</v>
      </c>
      <c r="J15" s="3">
        <v>24</v>
      </c>
      <c r="K15" s="3">
        <v>785.5</v>
      </c>
      <c r="L15" s="3">
        <v>855</v>
      </c>
      <c r="M15" s="3">
        <v>945</v>
      </c>
      <c r="N15" s="3">
        <v>3077.5</v>
      </c>
      <c r="O15" s="3">
        <v>5355</v>
      </c>
      <c r="P15" s="3">
        <v>220</v>
      </c>
      <c r="Q15" s="3">
        <v>12.5</v>
      </c>
      <c r="R15" s="9">
        <v>150</v>
      </c>
      <c r="S15" s="9">
        <v>90</v>
      </c>
      <c r="T15" s="9">
        <v>90</v>
      </c>
    </row>
    <row r="16" spans="1:20" ht="15.75" thickBot="1" x14ac:dyDescent="0.3">
      <c r="A16" s="3" t="s">
        <v>62</v>
      </c>
      <c r="B16" s="13">
        <v>8.35</v>
      </c>
      <c r="C16" s="3">
        <v>13.45</v>
      </c>
      <c r="D16" s="3">
        <v>9.6000000000000014</v>
      </c>
      <c r="E16" s="3">
        <v>3.5000000000000003E-2</v>
      </c>
      <c r="F16" s="3">
        <v>1.3</v>
      </c>
      <c r="G16" s="3">
        <v>236</v>
      </c>
      <c r="H16" s="3">
        <v>117.5</v>
      </c>
      <c r="I16" s="3">
        <v>1060</v>
      </c>
      <c r="J16" s="3">
        <v>21.5</v>
      </c>
      <c r="K16" s="3">
        <v>383.6</v>
      </c>
      <c r="L16" s="3">
        <v>837</v>
      </c>
      <c r="M16" s="3">
        <v>1050</v>
      </c>
      <c r="N16" s="3">
        <v>3265</v>
      </c>
      <c r="O16" s="3">
        <v>5680</v>
      </c>
      <c r="P16" s="3">
        <v>230</v>
      </c>
      <c r="Q16" s="3">
        <v>32</v>
      </c>
      <c r="R16" s="9">
        <v>150</v>
      </c>
      <c r="S16" s="9">
        <v>90</v>
      </c>
      <c r="T16" s="9">
        <v>90</v>
      </c>
    </row>
    <row r="17" spans="1:20" ht="15.75" thickBot="1" x14ac:dyDescent="0.3">
      <c r="A17" s="3" t="s">
        <v>63</v>
      </c>
      <c r="B17" s="13">
        <v>7.2</v>
      </c>
      <c r="C17" s="3">
        <v>11.5</v>
      </c>
      <c r="D17" s="3">
        <v>10.15</v>
      </c>
      <c r="E17" s="3">
        <v>0.05</v>
      </c>
      <c r="F17" s="3">
        <v>1.6</v>
      </c>
      <c r="G17" s="3">
        <v>232</v>
      </c>
      <c r="H17" s="3">
        <v>115</v>
      </c>
      <c r="I17" s="3">
        <v>1040</v>
      </c>
      <c r="J17" s="3">
        <v>20.8</v>
      </c>
      <c r="K17" s="3">
        <v>713</v>
      </c>
      <c r="L17" s="3">
        <v>700</v>
      </c>
      <c r="M17" s="3">
        <v>910</v>
      </c>
      <c r="N17" s="3">
        <v>2850</v>
      </c>
      <c r="O17" s="3">
        <v>5040</v>
      </c>
      <c r="P17" s="3">
        <v>220</v>
      </c>
      <c r="Q17" s="3">
        <v>23</v>
      </c>
      <c r="R17" s="9">
        <v>150</v>
      </c>
      <c r="S17" s="9">
        <v>90</v>
      </c>
      <c r="T17" s="9">
        <v>90</v>
      </c>
    </row>
    <row r="18" spans="1:20" ht="15.75" thickBot="1" x14ac:dyDescent="0.3">
      <c r="A18" s="3" t="s">
        <v>64</v>
      </c>
      <c r="B18" s="13">
        <v>7</v>
      </c>
      <c r="C18" s="3">
        <v>14.350000000000001</v>
      </c>
      <c r="D18" s="3">
        <v>7.55</v>
      </c>
      <c r="E18" s="3">
        <v>6.0000000000000005E-2</v>
      </c>
      <c r="F18" s="3">
        <v>1.5</v>
      </c>
      <c r="G18" s="3">
        <v>200</v>
      </c>
      <c r="H18" s="3">
        <v>130</v>
      </c>
      <c r="I18" s="3">
        <v>1020</v>
      </c>
      <c r="J18" s="3">
        <v>14.5</v>
      </c>
      <c r="K18" s="3">
        <v>715</v>
      </c>
      <c r="L18" s="3">
        <v>733</v>
      </c>
      <c r="M18" s="3">
        <v>1005</v>
      </c>
      <c r="N18" s="3">
        <v>2960</v>
      </c>
      <c r="O18" s="3">
        <v>5155</v>
      </c>
      <c r="P18" s="3">
        <v>230</v>
      </c>
      <c r="Q18" s="3">
        <v>17.5</v>
      </c>
      <c r="R18" s="9">
        <v>150</v>
      </c>
      <c r="S18" s="9">
        <v>90</v>
      </c>
      <c r="T18" s="9">
        <v>90</v>
      </c>
    </row>
    <row r="19" spans="1:20" ht="15.75" thickBot="1" x14ac:dyDescent="0.3">
      <c r="A19" s="3" t="s">
        <v>65</v>
      </c>
      <c r="B19" s="13">
        <v>7.1</v>
      </c>
      <c r="C19" s="3">
        <v>15.5</v>
      </c>
      <c r="D19" s="3">
        <v>7.9</v>
      </c>
      <c r="E19" s="3">
        <v>5.5000000000000007E-2</v>
      </c>
      <c r="F19" s="3">
        <v>1.85</v>
      </c>
      <c r="G19" s="3">
        <v>192</v>
      </c>
      <c r="H19" s="3">
        <v>110</v>
      </c>
      <c r="I19" s="3">
        <v>920</v>
      </c>
      <c r="J19" s="3">
        <v>29</v>
      </c>
      <c r="K19" s="3">
        <v>697.5</v>
      </c>
      <c r="L19" s="3">
        <v>744</v>
      </c>
      <c r="M19" s="3">
        <v>850</v>
      </c>
      <c r="N19" s="3">
        <v>2795</v>
      </c>
      <c r="O19" s="3">
        <v>4905</v>
      </c>
      <c r="P19" s="3">
        <v>220</v>
      </c>
      <c r="Q19" s="3">
        <v>19</v>
      </c>
      <c r="R19" s="3">
        <v>150</v>
      </c>
      <c r="S19" s="3">
        <v>90</v>
      </c>
      <c r="T19" s="3">
        <v>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6D80-5060-4258-BE6D-C799DC17CC36}">
  <dimension ref="A1:Q46"/>
  <sheetViews>
    <sheetView topLeftCell="A26" workbookViewId="0">
      <selection activeCell="A28" sqref="A28:XFD28"/>
    </sheetView>
  </sheetViews>
  <sheetFormatPr defaultRowHeight="15" x14ac:dyDescent="0.25"/>
  <cols>
    <col min="2" max="17" width="9.140625" style="11"/>
  </cols>
  <sheetData>
    <row r="1" spans="1:17" ht="16.5" thickTop="1" thickBot="1" x14ac:dyDescent="0.3">
      <c r="A1" s="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6.5" thickTop="1" thickBot="1" x14ac:dyDescent="0.3"/>
    <row r="3" spans="1:17" ht="16.5" thickTop="1" thickBot="1" x14ac:dyDescent="0.3">
      <c r="A3" s="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</row>
    <row r="4" spans="1:17" ht="15.75" thickBot="1" x14ac:dyDescent="0.3">
      <c r="A4" s="22" t="s">
        <v>17</v>
      </c>
      <c r="B4" s="13">
        <v>8.3000000000000007</v>
      </c>
      <c r="C4" s="13">
        <v>18.8</v>
      </c>
      <c r="D4" s="13">
        <v>7.7</v>
      </c>
      <c r="E4" s="13">
        <v>0.03</v>
      </c>
      <c r="F4" s="13">
        <v>0.6</v>
      </c>
      <c r="G4" s="13">
        <v>320</v>
      </c>
      <c r="H4" s="13">
        <v>200</v>
      </c>
      <c r="I4" s="13">
        <v>1600</v>
      </c>
      <c r="J4" s="13">
        <v>21</v>
      </c>
      <c r="K4" s="13">
        <v>920</v>
      </c>
      <c r="L4" s="13">
        <v>950</v>
      </c>
      <c r="M4" s="13">
        <v>1080</v>
      </c>
      <c r="N4" s="13">
        <v>3650</v>
      </c>
      <c r="O4" s="13">
        <v>6350</v>
      </c>
      <c r="P4" s="13">
        <v>220</v>
      </c>
      <c r="Q4" s="13">
        <v>21</v>
      </c>
    </row>
    <row r="5" spans="1:17" ht="15.75" thickBot="1" x14ac:dyDescent="0.3">
      <c r="A5" s="23"/>
      <c r="B5" s="13">
        <v>8.4</v>
      </c>
      <c r="C5" s="13">
        <v>14.3</v>
      </c>
      <c r="D5" s="13">
        <v>7.1</v>
      </c>
      <c r="E5" s="13">
        <v>0.05</v>
      </c>
      <c r="F5" s="13">
        <v>1.3</v>
      </c>
      <c r="G5" s="13">
        <v>416</v>
      </c>
      <c r="H5" s="13">
        <v>240</v>
      </c>
      <c r="I5" s="13">
        <v>2000</v>
      </c>
      <c r="J5" s="13">
        <v>20</v>
      </c>
      <c r="K5" s="13">
        <v>840</v>
      </c>
      <c r="L5" s="13">
        <v>926</v>
      </c>
      <c r="M5" s="13">
        <v>980</v>
      </c>
      <c r="N5" s="13">
        <v>3599</v>
      </c>
      <c r="O5" s="13">
        <v>6260</v>
      </c>
      <c r="P5" s="13">
        <v>220</v>
      </c>
      <c r="Q5" s="13">
        <v>42</v>
      </c>
    </row>
    <row r="6" spans="1:17" ht="15.75" thickBot="1" x14ac:dyDescent="0.3">
      <c r="A6" s="3" t="s">
        <v>18</v>
      </c>
      <c r="B6" s="13">
        <f>AVERAGE(B4:B5)</f>
        <v>8.3500000000000014</v>
      </c>
      <c r="C6" s="13">
        <f t="shared" ref="C6:Q6" si="0">AVERAGE(C4:C5)</f>
        <v>16.55</v>
      </c>
      <c r="D6" s="13">
        <f t="shared" si="0"/>
        <v>7.4</v>
      </c>
      <c r="E6" s="13">
        <f t="shared" si="0"/>
        <v>0.04</v>
      </c>
      <c r="F6" s="13">
        <f t="shared" si="0"/>
        <v>0.95</v>
      </c>
      <c r="G6" s="13">
        <f t="shared" si="0"/>
        <v>368</v>
      </c>
      <c r="H6" s="13">
        <f t="shared" si="0"/>
        <v>220</v>
      </c>
      <c r="I6" s="13">
        <f t="shared" si="0"/>
        <v>1800</v>
      </c>
      <c r="J6" s="13">
        <f t="shared" si="0"/>
        <v>20.5</v>
      </c>
      <c r="K6" s="13">
        <f t="shared" si="0"/>
        <v>880</v>
      </c>
      <c r="L6" s="13">
        <f t="shared" si="0"/>
        <v>938</v>
      </c>
      <c r="M6" s="13">
        <f t="shared" si="0"/>
        <v>1030</v>
      </c>
      <c r="N6" s="13">
        <f t="shared" si="0"/>
        <v>3624.5</v>
      </c>
      <c r="O6" s="13">
        <f t="shared" si="0"/>
        <v>6305</v>
      </c>
      <c r="P6" s="13">
        <f t="shared" si="0"/>
        <v>220</v>
      </c>
      <c r="Q6" s="13">
        <f t="shared" si="0"/>
        <v>31.5</v>
      </c>
    </row>
    <row r="7" spans="1:17" ht="15.75" thickBot="1" x14ac:dyDescent="0.3">
      <c r="A7" s="22" t="s">
        <v>19</v>
      </c>
      <c r="B7" s="13">
        <v>8.5</v>
      </c>
      <c r="C7" s="13">
        <v>15</v>
      </c>
      <c r="D7" s="13">
        <v>7.6</v>
      </c>
      <c r="E7" s="13">
        <v>0.11</v>
      </c>
      <c r="F7" s="13">
        <v>1.5</v>
      </c>
      <c r="G7" s="13">
        <v>352</v>
      </c>
      <c r="H7" s="13">
        <v>160</v>
      </c>
      <c r="I7" s="13">
        <v>1520</v>
      </c>
      <c r="J7" s="13">
        <v>35</v>
      </c>
      <c r="K7" s="13">
        <v>944</v>
      </c>
      <c r="L7" s="13">
        <v>960</v>
      </c>
      <c r="M7" s="13">
        <v>1150</v>
      </c>
      <c r="N7" s="13">
        <v>3760</v>
      </c>
      <c r="O7" s="13">
        <v>6550</v>
      </c>
      <c r="P7" s="13">
        <v>200</v>
      </c>
      <c r="Q7" s="13">
        <v>31</v>
      </c>
    </row>
    <row r="8" spans="1:17" ht="15.75" thickBot="1" x14ac:dyDescent="0.3">
      <c r="A8" s="23"/>
      <c r="B8" s="13">
        <v>8.5</v>
      </c>
      <c r="C8" s="13">
        <v>17.3</v>
      </c>
      <c r="D8" s="13">
        <v>9</v>
      </c>
      <c r="E8" s="13">
        <v>0.19</v>
      </c>
      <c r="F8" s="13">
        <v>1.9</v>
      </c>
      <c r="G8" s="13">
        <v>320</v>
      </c>
      <c r="H8" s="13">
        <v>280</v>
      </c>
      <c r="I8" s="13">
        <v>1920</v>
      </c>
      <c r="J8" s="13">
        <v>25</v>
      </c>
      <c r="K8" s="13">
        <v>1050</v>
      </c>
      <c r="L8" s="13">
        <v>1160</v>
      </c>
      <c r="M8" s="13">
        <v>1225</v>
      </c>
      <c r="N8" s="13">
        <v>4230</v>
      </c>
      <c r="O8" s="13">
        <v>7390</v>
      </c>
      <c r="P8" s="13">
        <v>240</v>
      </c>
      <c r="Q8" s="13">
        <v>36</v>
      </c>
    </row>
    <row r="9" spans="1:17" ht="15.75" thickBot="1" x14ac:dyDescent="0.3">
      <c r="A9" s="3" t="s">
        <v>20</v>
      </c>
      <c r="B9" s="13">
        <f>AVERAGE(B7:B8)</f>
        <v>8.5</v>
      </c>
      <c r="C9" s="13">
        <f t="shared" ref="C9:Q9" si="1">AVERAGE(C7:C8)</f>
        <v>16.149999999999999</v>
      </c>
      <c r="D9" s="13">
        <f t="shared" si="1"/>
        <v>8.3000000000000007</v>
      </c>
      <c r="E9" s="13">
        <f t="shared" si="1"/>
        <v>0.15</v>
      </c>
      <c r="F9" s="13">
        <f t="shared" si="1"/>
        <v>1.7</v>
      </c>
      <c r="G9" s="13">
        <f t="shared" si="1"/>
        <v>336</v>
      </c>
      <c r="H9" s="13">
        <f t="shared" si="1"/>
        <v>220</v>
      </c>
      <c r="I9" s="13">
        <f t="shared" si="1"/>
        <v>1720</v>
      </c>
      <c r="J9" s="13">
        <f t="shared" si="1"/>
        <v>30</v>
      </c>
      <c r="K9" s="13">
        <f t="shared" si="1"/>
        <v>997</v>
      </c>
      <c r="L9" s="13">
        <f t="shared" si="1"/>
        <v>1060</v>
      </c>
      <c r="M9" s="13">
        <f t="shared" si="1"/>
        <v>1187.5</v>
      </c>
      <c r="N9" s="13">
        <f t="shared" si="1"/>
        <v>3995</v>
      </c>
      <c r="O9" s="13">
        <f t="shared" si="1"/>
        <v>6970</v>
      </c>
      <c r="P9" s="13">
        <f t="shared" si="1"/>
        <v>220</v>
      </c>
      <c r="Q9" s="13">
        <f t="shared" si="1"/>
        <v>33.5</v>
      </c>
    </row>
    <row r="10" spans="1:17" ht="15.75" thickBot="1" x14ac:dyDescent="0.3">
      <c r="A10" s="25" t="s">
        <v>21</v>
      </c>
      <c r="B10" s="14">
        <v>8.5</v>
      </c>
      <c r="C10" s="14">
        <v>18</v>
      </c>
      <c r="D10" s="14">
        <v>9.1</v>
      </c>
      <c r="E10" s="14">
        <v>0.05</v>
      </c>
      <c r="F10" s="14">
        <v>1</v>
      </c>
      <c r="G10" s="14">
        <v>224</v>
      </c>
      <c r="H10" s="14">
        <v>110</v>
      </c>
      <c r="I10" s="14">
        <v>1000</v>
      </c>
      <c r="J10" s="14">
        <v>28</v>
      </c>
      <c r="K10" s="14">
        <v>884</v>
      </c>
      <c r="L10" s="14">
        <v>859</v>
      </c>
      <c r="M10" s="14">
        <v>1200</v>
      </c>
      <c r="N10" s="14">
        <v>3470</v>
      </c>
      <c r="O10" s="14">
        <v>6100</v>
      </c>
      <c r="P10" s="14">
        <v>180</v>
      </c>
      <c r="Q10" s="14">
        <v>31</v>
      </c>
    </row>
    <row r="11" spans="1:17" ht="16.5" thickTop="1" thickBot="1" x14ac:dyDescent="0.3">
      <c r="A11" s="26"/>
      <c r="B11" s="15">
        <v>8.1999999999999993</v>
      </c>
      <c r="C11" s="15">
        <v>21</v>
      </c>
      <c r="D11" s="15">
        <v>7.4</v>
      </c>
      <c r="E11" s="15">
        <v>0.11</v>
      </c>
      <c r="F11" s="15">
        <v>1.1000000000000001</v>
      </c>
      <c r="G11" s="15">
        <v>160</v>
      </c>
      <c r="H11" s="15">
        <v>130</v>
      </c>
      <c r="I11" s="15">
        <v>920</v>
      </c>
      <c r="J11" s="15">
        <v>30</v>
      </c>
      <c r="K11" s="15">
        <v>722</v>
      </c>
      <c r="L11" s="15">
        <v>700</v>
      </c>
      <c r="M11" s="15">
        <v>820</v>
      </c>
      <c r="N11" s="15">
        <v>2710</v>
      </c>
      <c r="O11" s="15">
        <v>4750</v>
      </c>
      <c r="P11" s="15">
        <v>220</v>
      </c>
      <c r="Q11" s="15">
        <v>28</v>
      </c>
    </row>
    <row r="12" spans="1:17" ht="16.5" thickTop="1" thickBot="1" x14ac:dyDescent="0.3">
      <c r="A12" s="4" t="s">
        <v>22</v>
      </c>
      <c r="B12" s="16">
        <f>AVERAGE(B10:B11)</f>
        <v>8.35</v>
      </c>
      <c r="C12" s="16">
        <f>AVERAGE(C10:C11)</f>
        <v>19.5</v>
      </c>
      <c r="D12" s="16">
        <f>AVERAGE(D10:D11)</f>
        <v>8.25</v>
      </c>
      <c r="E12" s="16">
        <f>AVERAGE(E10:E11)</f>
        <v>0.08</v>
      </c>
      <c r="F12" s="16">
        <f t="shared" ref="F12:Q12" si="2">AVERAGE(F10:F11)</f>
        <v>1.05</v>
      </c>
      <c r="G12" s="16">
        <f t="shared" si="2"/>
        <v>192</v>
      </c>
      <c r="H12" s="16">
        <f t="shared" si="2"/>
        <v>120</v>
      </c>
      <c r="I12" s="16">
        <f t="shared" si="2"/>
        <v>960</v>
      </c>
      <c r="J12" s="16">
        <f t="shared" si="2"/>
        <v>29</v>
      </c>
      <c r="K12" s="16">
        <f t="shared" si="2"/>
        <v>803</v>
      </c>
      <c r="L12" s="16">
        <f t="shared" si="2"/>
        <v>779.5</v>
      </c>
      <c r="M12" s="16">
        <f t="shared" si="2"/>
        <v>1010</v>
      </c>
      <c r="N12" s="16">
        <f t="shared" si="2"/>
        <v>3090</v>
      </c>
      <c r="O12" s="16">
        <f t="shared" si="2"/>
        <v>5425</v>
      </c>
      <c r="P12" s="16">
        <f t="shared" si="2"/>
        <v>200</v>
      </c>
      <c r="Q12" s="16">
        <f t="shared" si="2"/>
        <v>29.5</v>
      </c>
    </row>
    <row r="13" spans="1:17" ht="16.5" thickTop="1" thickBot="1" x14ac:dyDescent="0.3">
      <c r="A13" s="25" t="s">
        <v>23</v>
      </c>
      <c r="B13" s="14">
        <v>8</v>
      </c>
      <c r="C13" s="14">
        <v>23.5</v>
      </c>
      <c r="D13" s="14">
        <v>7.2</v>
      </c>
      <c r="E13" s="14">
        <v>0.08</v>
      </c>
      <c r="F13" s="14">
        <v>1.1000000000000001</v>
      </c>
      <c r="G13" s="14">
        <v>176</v>
      </c>
      <c r="H13" s="14">
        <v>100</v>
      </c>
      <c r="I13" s="14">
        <v>840</v>
      </c>
      <c r="J13" s="14">
        <v>16.5</v>
      </c>
      <c r="K13" s="14">
        <v>620</v>
      </c>
      <c r="L13" s="14">
        <v>630</v>
      </c>
      <c r="M13" s="14">
        <v>700</v>
      </c>
      <c r="N13" s="14">
        <v>2350</v>
      </c>
      <c r="O13" s="14">
        <v>4018</v>
      </c>
      <c r="P13" s="14">
        <v>160</v>
      </c>
      <c r="Q13" s="14">
        <v>14</v>
      </c>
    </row>
    <row r="14" spans="1:17" ht="16.5" thickTop="1" thickBot="1" x14ac:dyDescent="0.3">
      <c r="A14" s="27"/>
      <c r="B14" s="17">
        <v>8.4</v>
      </c>
      <c r="C14" s="17">
        <v>22.9</v>
      </c>
      <c r="D14" s="17">
        <v>8.1999999999999993</v>
      </c>
      <c r="E14" s="17">
        <v>0.05</v>
      </c>
      <c r="F14" s="17">
        <v>1</v>
      </c>
      <c r="G14" s="17">
        <v>2.8</v>
      </c>
      <c r="H14" s="17">
        <v>150</v>
      </c>
      <c r="I14" s="17">
        <v>1120</v>
      </c>
      <c r="J14" s="17">
        <v>18.5</v>
      </c>
      <c r="K14" s="17">
        <v>698</v>
      </c>
      <c r="L14" s="17">
        <v>740</v>
      </c>
      <c r="M14" s="17">
        <v>750</v>
      </c>
      <c r="N14" s="17">
        <v>2710</v>
      </c>
      <c r="O14" s="17">
        <v>4720</v>
      </c>
      <c r="P14" s="17">
        <v>180</v>
      </c>
      <c r="Q14" s="17">
        <v>24</v>
      </c>
    </row>
    <row r="15" spans="1:17" ht="16.5" thickTop="1" thickBot="1" x14ac:dyDescent="0.3">
      <c r="A15" s="5" t="s">
        <v>24</v>
      </c>
      <c r="B15" s="17">
        <f>AVERAGE(B13:B14)</f>
        <v>8.1999999999999993</v>
      </c>
      <c r="C15" s="17">
        <f t="shared" ref="C15:Q15" si="3">AVERAGE(C13:C14)</f>
        <v>23.2</v>
      </c>
      <c r="D15" s="17">
        <f t="shared" si="3"/>
        <v>7.6999999999999993</v>
      </c>
      <c r="E15" s="17">
        <f t="shared" si="3"/>
        <v>6.5000000000000002E-2</v>
      </c>
      <c r="F15" s="17">
        <f t="shared" si="3"/>
        <v>1.05</v>
      </c>
      <c r="G15" s="17">
        <f t="shared" si="3"/>
        <v>89.4</v>
      </c>
      <c r="H15" s="17">
        <f t="shared" si="3"/>
        <v>125</v>
      </c>
      <c r="I15" s="17">
        <f t="shared" si="3"/>
        <v>980</v>
      </c>
      <c r="J15" s="17">
        <f t="shared" si="3"/>
        <v>17.5</v>
      </c>
      <c r="K15" s="17">
        <f t="shared" si="3"/>
        <v>659</v>
      </c>
      <c r="L15" s="17">
        <f t="shared" si="3"/>
        <v>685</v>
      </c>
      <c r="M15" s="17">
        <f t="shared" si="3"/>
        <v>725</v>
      </c>
      <c r="N15" s="17">
        <f t="shared" si="3"/>
        <v>2530</v>
      </c>
      <c r="O15" s="17">
        <f t="shared" si="3"/>
        <v>4369</v>
      </c>
      <c r="P15" s="17">
        <f t="shared" si="3"/>
        <v>170</v>
      </c>
      <c r="Q15" s="17">
        <f t="shared" si="3"/>
        <v>19</v>
      </c>
    </row>
    <row r="16" spans="1:17" ht="16.5" thickTop="1" thickBot="1" x14ac:dyDescent="0.3">
      <c r="A16" s="27" t="s">
        <v>25</v>
      </c>
      <c r="B16" s="17">
        <v>8.5</v>
      </c>
      <c r="C16" s="17">
        <v>21.5</v>
      </c>
      <c r="D16" s="17">
        <v>7.27</v>
      </c>
      <c r="E16" s="17">
        <v>2.4E-2</v>
      </c>
      <c r="F16" s="17">
        <v>1.54</v>
      </c>
      <c r="G16" s="17">
        <v>160</v>
      </c>
      <c r="H16" s="17">
        <v>60</v>
      </c>
      <c r="I16" s="17">
        <v>640</v>
      </c>
      <c r="J16" s="17">
        <v>20</v>
      </c>
      <c r="K16" s="17">
        <v>594</v>
      </c>
      <c r="L16" s="17">
        <v>661</v>
      </c>
      <c r="M16" s="17">
        <v>672</v>
      </c>
      <c r="N16" s="17">
        <v>2346</v>
      </c>
      <c r="O16" s="17">
        <v>4050</v>
      </c>
      <c r="P16" s="17">
        <v>240</v>
      </c>
      <c r="Q16" s="17">
        <v>49</v>
      </c>
    </row>
    <row r="17" spans="1:17" ht="16.5" thickTop="1" thickBot="1" x14ac:dyDescent="0.3">
      <c r="A17" s="27"/>
      <c r="B17" s="17">
        <v>8.1</v>
      </c>
      <c r="C17" s="17">
        <v>20.6</v>
      </c>
      <c r="D17" s="17">
        <v>9.1999999999999993</v>
      </c>
      <c r="E17" s="17">
        <v>0.12</v>
      </c>
      <c r="F17" s="17">
        <v>1.3</v>
      </c>
      <c r="G17" s="17">
        <v>144</v>
      </c>
      <c r="H17" s="17">
        <v>100</v>
      </c>
      <c r="I17" s="17">
        <v>760</v>
      </c>
      <c r="J17" s="17">
        <v>19</v>
      </c>
      <c r="K17" s="17">
        <v>542</v>
      </c>
      <c r="L17" s="17">
        <v>612</v>
      </c>
      <c r="M17" s="17">
        <v>680</v>
      </c>
      <c r="N17" s="17">
        <v>2250</v>
      </c>
      <c r="O17" s="17">
        <v>3880</v>
      </c>
      <c r="P17" s="17">
        <v>220</v>
      </c>
      <c r="Q17" s="17">
        <v>38</v>
      </c>
    </row>
    <row r="18" spans="1:17" ht="16.5" thickTop="1" thickBot="1" x14ac:dyDescent="0.3">
      <c r="A18" s="5" t="s">
        <v>26</v>
      </c>
      <c r="B18" s="17">
        <f>AVERAGE(B16:B17)</f>
        <v>8.3000000000000007</v>
      </c>
      <c r="C18" s="17">
        <f t="shared" ref="C18:Q18" si="4">AVERAGE(C16:C17)</f>
        <v>21.05</v>
      </c>
      <c r="D18" s="17">
        <f t="shared" si="4"/>
        <v>8.2349999999999994</v>
      </c>
      <c r="E18" s="17">
        <f t="shared" si="4"/>
        <v>7.1999999999999995E-2</v>
      </c>
      <c r="F18" s="17">
        <f t="shared" si="4"/>
        <v>1.42</v>
      </c>
      <c r="G18" s="17">
        <f t="shared" si="4"/>
        <v>152</v>
      </c>
      <c r="H18" s="17">
        <f t="shared" si="4"/>
        <v>80</v>
      </c>
      <c r="I18" s="17">
        <f t="shared" si="4"/>
        <v>700</v>
      </c>
      <c r="J18" s="17">
        <f t="shared" si="4"/>
        <v>19.5</v>
      </c>
      <c r="K18" s="17">
        <f t="shared" si="4"/>
        <v>568</v>
      </c>
      <c r="L18" s="17">
        <f t="shared" si="4"/>
        <v>636.5</v>
      </c>
      <c r="M18" s="17">
        <f t="shared" si="4"/>
        <v>676</v>
      </c>
      <c r="N18" s="17">
        <f t="shared" si="4"/>
        <v>2298</v>
      </c>
      <c r="O18" s="17">
        <f t="shared" si="4"/>
        <v>3965</v>
      </c>
      <c r="P18" s="17">
        <f t="shared" si="4"/>
        <v>230</v>
      </c>
      <c r="Q18" s="17">
        <f t="shared" si="4"/>
        <v>43.5</v>
      </c>
    </row>
    <row r="19" spans="1:17" ht="16.5" thickTop="1" thickBot="1" x14ac:dyDescent="0.3">
      <c r="A19" s="27" t="s">
        <v>27</v>
      </c>
      <c r="B19" s="17">
        <v>8</v>
      </c>
      <c r="C19" s="17">
        <v>18.899999999999999</v>
      </c>
      <c r="D19" s="17">
        <v>9.5</v>
      </c>
      <c r="E19" s="17">
        <v>0.05</v>
      </c>
      <c r="F19" s="17">
        <v>1.6</v>
      </c>
      <c r="G19" s="17">
        <v>176</v>
      </c>
      <c r="H19" s="17">
        <v>100</v>
      </c>
      <c r="I19" s="17">
        <v>840</v>
      </c>
      <c r="J19" s="17">
        <v>19.2</v>
      </c>
      <c r="K19" s="17">
        <v>580</v>
      </c>
      <c r="L19" s="17">
        <v>574</v>
      </c>
      <c r="M19" s="17">
        <v>600</v>
      </c>
      <c r="N19" s="17">
        <v>2175</v>
      </c>
      <c r="O19" s="17">
        <v>3790</v>
      </c>
      <c r="P19" s="17">
        <v>200</v>
      </c>
      <c r="Q19" s="17">
        <v>41</v>
      </c>
    </row>
    <row r="20" spans="1:17" ht="16.5" thickTop="1" thickBot="1" x14ac:dyDescent="0.3">
      <c r="A20" s="27"/>
      <c r="B20" s="17">
        <v>8</v>
      </c>
      <c r="C20" s="17">
        <v>19.5</v>
      </c>
      <c r="D20" s="17">
        <v>9.1999999999999993</v>
      </c>
      <c r="E20" s="17">
        <v>7.0000000000000007E-2</v>
      </c>
      <c r="F20" s="17">
        <v>1.3</v>
      </c>
      <c r="G20" s="17">
        <v>176</v>
      </c>
      <c r="H20" s="17">
        <v>80</v>
      </c>
      <c r="I20" s="17">
        <v>760</v>
      </c>
      <c r="J20" s="17">
        <v>15</v>
      </c>
      <c r="K20" s="17">
        <v>505</v>
      </c>
      <c r="L20" s="17">
        <v>500</v>
      </c>
      <c r="M20" s="17">
        <v>550</v>
      </c>
      <c r="N20" s="17">
        <v>1980</v>
      </c>
      <c r="O20" s="17">
        <v>3640</v>
      </c>
      <c r="P20" s="17">
        <v>200</v>
      </c>
      <c r="Q20" s="17">
        <v>19</v>
      </c>
    </row>
    <row r="21" spans="1:17" ht="16.5" thickTop="1" thickBot="1" x14ac:dyDescent="0.3">
      <c r="A21" s="5" t="s">
        <v>28</v>
      </c>
      <c r="B21" s="17">
        <f>AVERAGE(B19:B20)</f>
        <v>8</v>
      </c>
      <c r="C21" s="17">
        <f t="shared" ref="C21:Q21" si="5">AVERAGE(C19:C20)</f>
        <v>19.2</v>
      </c>
      <c r="D21" s="17">
        <f t="shared" si="5"/>
        <v>9.35</v>
      </c>
      <c r="E21" s="17">
        <f t="shared" si="5"/>
        <v>6.0000000000000005E-2</v>
      </c>
      <c r="F21" s="17">
        <f t="shared" si="5"/>
        <v>1.4500000000000002</v>
      </c>
      <c r="G21" s="17">
        <f t="shared" si="5"/>
        <v>176</v>
      </c>
      <c r="H21" s="17">
        <f t="shared" si="5"/>
        <v>90</v>
      </c>
      <c r="I21" s="17">
        <f t="shared" si="5"/>
        <v>800</v>
      </c>
      <c r="J21" s="17">
        <f t="shared" si="5"/>
        <v>17.100000000000001</v>
      </c>
      <c r="K21" s="17">
        <f t="shared" si="5"/>
        <v>542.5</v>
      </c>
      <c r="L21" s="17">
        <f t="shared" si="5"/>
        <v>537</v>
      </c>
      <c r="M21" s="17">
        <f t="shared" si="5"/>
        <v>575</v>
      </c>
      <c r="N21" s="17">
        <f t="shared" si="5"/>
        <v>2077.5</v>
      </c>
      <c r="O21" s="17">
        <f t="shared" si="5"/>
        <v>3715</v>
      </c>
      <c r="P21" s="17">
        <f t="shared" si="5"/>
        <v>200</v>
      </c>
      <c r="Q21" s="17">
        <f t="shared" si="5"/>
        <v>30</v>
      </c>
    </row>
    <row r="22" spans="1:17" ht="16.5" thickTop="1" thickBot="1" x14ac:dyDescent="0.3">
      <c r="A22" s="27" t="s">
        <v>29</v>
      </c>
      <c r="B22" s="17">
        <v>7.3</v>
      </c>
      <c r="C22" s="17">
        <v>18</v>
      </c>
      <c r="D22" s="17">
        <v>8.9</v>
      </c>
      <c r="E22" s="17">
        <v>0.03</v>
      </c>
      <c r="F22" s="17">
        <v>1.3</v>
      </c>
      <c r="G22" s="17">
        <v>208</v>
      </c>
      <c r="H22" s="17">
        <v>110</v>
      </c>
      <c r="I22" s="17">
        <v>960</v>
      </c>
      <c r="J22" s="17">
        <v>16</v>
      </c>
      <c r="K22" s="17">
        <v>610</v>
      </c>
      <c r="L22" s="17">
        <v>629</v>
      </c>
      <c r="M22" s="17">
        <v>675</v>
      </c>
      <c r="N22" s="17">
        <v>2400</v>
      </c>
      <c r="O22" s="17">
        <v>4180</v>
      </c>
      <c r="P22" s="17">
        <v>220</v>
      </c>
      <c r="Q22" s="17">
        <v>9</v>
      </c>
    </row>
    <row r="23" spans="1:17" ht="16.5" thickTop="1" thickBot="1" x14ac:dyDescent="0.3">
      <c r="A23" s="27"/>
      <c r="B23" s="17">
        <v>7.1</v>
      </c>
      <c r="C23" s="17">
        <v>18</v>
      </c>
      <c r="D23" s="17">
        <v>7.6</v>
      </c>
      <c r="E23" s="17">
        <v>0.04</v>
      </c>
      <c r="F23" s="17">
        <v>1</v>
      </c>
      <c r="G23" s="17">
        <v>128</v>
      </c>
      <c r="H23" s="17">
        <v>120</v>
      </c>
      <c r="I23" s="17">
        <v>800</v>
      </c>
      <c r="J23" s="17">
        <v>24.5</v>
      </c>
      <c r="K23" s="17">
        <v>560</v>
      </c>
      <c r="L23" s="17">
        <v>625</v>
      </c>
      <c r="M23" s="17">
        <v>670</v>
      </c>
      <c r="N23" s="17">
        <v>2280</v>
      </c>
      <c r="O23" s="17">
        <v>3840</v>
      </c>
      <c r="P23" s="17">
        <v>200</v>
      </c>
      <c r="Q23" s="17">
        <v>8</v>
      </c>
    </row>
    <row r="24" spans="1:17" ht="16.5" thickTop="1" thickBot="1" x14ac:dyDescent="0.3">
      <c r="A24" s="5" t="s">
        <v>30</v>
      </c>
      <c r="B24" s="17">
        <f>AVERAGE(B22:B23)</f>
        <v>7.1999999999999993</v>
      </c>
      <c r="C24" s="17">
        <f t="shared" ref="C24:Q24" si="6">AVERAGE(C22:C23)</f>
        <v>18</v>
      </c>
      <c r="D24" s="17">
        <f t="shared" si="6"/>
        <v>8.25</v>
      </c>
      <c r="E24" s="17">
        <f t="shared" si="6"/>
        <v>3.5000000000000003E-2</v>
      </c>
      <c r="F24" s="17">
        <f t="shared" si="6"/>
        <v>1.1499999999999999</v>
      </c>
      <c r="G24" s="17">
        <f t="shared" si="6"/>
        <v>168</v>
      </c>
      <c r="H24" s="17">
        <f t="shared" si="6"/>
        <v>115</v>
      </c>
      <c r="I24" s="17">
        <f t="shared" si="6"/>
        <v>880</v>
      </c>
      <c r="J24" s="17">
        <f t="shared" si="6"/>
        <v>20.25</v>
      </c>
      <c r="K24" s="17">
        <f t="shared" si="6"/>
        <v>585</v>
      </c>
      <c r="L24" s="17">
        <f t="shared" si="6"/>
        <v>627</v>
      </c>
      <c r="M24" s="17">
        <f t="shared" si="6"/>
        <v>672.5</v>
      </c>
      <c r="N24" s="17">
        <f t="shared" si="6"/>
        <v>2340</v>
      </c>
      <c r="O24" s="17">
        <f t="shared" si="6"/>
        <v>4010</v>
      </c>
      <c r="P24" s="17">
        <f t="shared" si="6"/>
        <v>210</v>
      </c>
      <c r="Q24" s="17">
        <f t="shared" si="6"/>
        <v>8.5</v>
      </c>
    </row>
    <row r="25" spans="1:17" ht="16.5" thickTop="1" thickBot="1" x14ac:dyDescent="0.3">
      <c r="A25" s="27" t="s">
        <v>31</v>
      </c>
      <c r="B25" s="17">
        <v>7.2</v>
      </c>
      <c r="C25" s="17">
        <v>13.1</v>
      </c>
      <c r="D25" s="17">
        <v>10</v>
      </c>
      <c r="E25" s="17">
        <v>0.02</v>
      </c>
      <c r="F25" s="17">
        <v>2.1</v>
      </c>
      <c r="G25" s="17">
        <v>208</v>
      </c>
      <c r="H25" s="17">
        <v>70</v>
      </c>
      <c r="I25" s="17">
        <v>800</v>
      </c>
      <c r="J25" s="17">
        <v>14</v>
      </c>
      <c r="K25" s="17">
        <v>600</v>
      </c>
      <c r="L25" s="17">
        <v>756</v>
      </c>
      <c r="M25" s="17">
        <v>700</v>
      </c>
      <c r="N25" s="17">
        <v>2495</v>
      </c>
      <c r="O25" s="17">
        <v>4340</v>
      </c>
      <c r="P25" s="17">
        <v>200</v>
      </c>
      <c r="Q25" s="17">
        <v>6</v>
      </c>
    </row>
    <row r="26" spans="1:17" ht="16.5" thickTop="1" thickBot="1" x14ac:dyDescent="0.3">
      <c r="A26" s="26"/>
      <c r="B26" s="15">
        <v>7</v>
      </c>
      <c r="C26" s="15">
        <v>11.6</v>
      </c>
      <c r="D26" s="15">
        <v>10.3</v>
      </c>
      <c r="E26" s="15">
        <v>0.03</v>
      </c>
      <c r="F26" s="15">
        <v>1.9</v>
      </c>
      <c r="G26" s="15">
        <v>192</v>
      </c>
      <c r="H26" s="15">
        <v>90</v>
      </c>
      <c r="I26" s="15">
        <v>840</v>
      </c>
      <c r="J26" s="15">
        <v>22</v>
      </c>
      <c r="K26" s="15">
        <v>477</v>
      </c>
      <c r="L26" s="15">
        <v>704</v>
      </c>
      <c r="M26" s="15">
        <v>710</v>
      </c>
      <c r="N26" s="15">
        <v>2360</v>
      </c>
      <c r="O26" s="15">
        <v>4100</v>
      </c>
      <c r="P26" s="15">
        <v>240</v>
      </c>
      <c r="Q26" s="15">
        <v>69</v>
      </c>
    </row>
    <row r="27" spans="1:17" ht="15.75" thickBot="1" x14ac:dyDescent="0.3">
      <c r="A27" s="3" t="s">
        <v>32</v>
      </c>
      <c r="B27" s="13">
        <f>AVERAGE(B25:B26)</f>
        <v>7.1</v>
      </c>
      <c r="C27" s="13">
        <f t="shared" ref="C27:Q27" si="7">AVERAGE(C25:C26)</f>
        <v>12.35</v>
      </c>
      <c r="D27" s="13">
        <f t="shared" si="7"/>
        <v>10.15</v>
      </c>
      <c r="E27" s="13">
        <f t="shared" si="7"/>
        <v>2.5000000000000001E-2</v>
      </c>
      <c r="F27" s="13">
        <f t="shared" si="7"/>
        <v>2</v>
      </c>
      <c r="G27" s="13">
        <f t="shared" si="7"/>
        <v>200</v>
      </c>
      <c r="H27" s="13">
        <f t="shared" si="7"/>
        <v>80</v>
      </c>
      <c r="I27" s="13">
        <f t="shared" si="7"/>
        <v>820</v>
      </c>
      <c r="J27" s="13">
        <f t="shared" si="7"/>
        <v>18</v>
      </c>
      <c r="K27" s="13">
        <f t="shared" si="7"/>
        <v>538.5</v>
      </c>
      <c r="L27" s="13">
        <f t="shared" si="7"/>
        <v>730</v>
      </c>
      <c r="M27" s="13">
        <f t="shared" si="7"/>
        <v>705</v>
      </c>
      <c r="N27" s="13">
        <f t="shared" si="7"/>
        <v>2427.5</v>
      </c>
      <c r="O27" s="13">
        <f t="shared" si="7"/>
        <v>4220</v>
      </c>
      <c r="P27" s="13">
        <f t="shared" si="7"/>
        <v>220</v>
      </c>
      <c r="Q27" s="13">
        <f t="shared" si="7"/>
        <v>37.5</v>
      </c>
    </row>
    <row r="28" spans="1:17" ht="15.75" thickBot="1" x14ac:dyDescent="0.3">
      <c r="B28" s="19" t="s">
        <v>33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1"/>
    </row>
    <row r="29" spans="1:17" ht="15.75" thickBot="1" x14ac:dyDescent="0.3">
      <c r="A29" s="22" t="s">
        <v>34</v>
      </c>
      <c r="B29" s="13">
        <v>7</v>
      </c>
      <c r="C29" s="13">
        <v>10.7</v>
      </c>
      <c r="D29" s="13">
        <v>9.5</v>
      </c>
      <c r="E29" s="13">
        <v>0.06</v>
      </c>
      <c r="F29" s="13">
        <v>1.66</v>
      </c>
      <c r="G29" s="13">
        <v>160</v>
      </c>
      <c r="H29" s="13">
        <v>100</v>
      </c>
      <c r="I29" s="13">
        <v>800</v>
      </c>
      <c r="J29" s="13">
        <v>18.5</v>
      </c>
      <c r="K29" s="13">
        <v>420</v>
      </c>
      <c r="L29" s="13">
        <v>531</v>
      </c>
      <c r="M29" s="13">
        <v>660</v>
      </c>
      <c r="N29" s="13">
        <v>2035</v>
      </c>
      <c r="O29" s="13">
        <v>3550</v>
      </c>
      <c r="P29" s="13">
        <v>200</v>
      </c>
      <c r="Q29" s="13">
        <v>5</v>
      </c>
    </row>
    <row r="30" spans="1:17" ht="15.75" thickBot="1" x14ac:dyDescent="0.3">
      <c r="A30" s="23"/>
      <c r="B30" s="13">
        <v>7.1</v>
      </c>
      <c r="C30" s="13">
        <v>8</v>
      </c>
      <c r="D30" s="13">
        <v>10.8</v>
      </c>
      <c r="E30" s="13">
        <v>0.05</v>
      </c>
      <c r="F30" s="13">
        <v>1.8</v>
      </c>
      <c r="G30" s="13">
        <v>176</v>
      </c>
      <c r="H30" s="13">
        <v>100</v>
      </c>
      <c r="I30" s="13">
        <v>840</v>
      </c>
      <c r="J30" s="13">
        <v>25.5</v>
      </c>
      <c r="K30" s="13">
        <v>530</v>
      </c>
      <c r="L30" s="13">
        <v>600</v>
      </c>
      <c r="M30" s="13">
        <v>740</v>
      </c>
      <c r="N30" s="13">
        <v>2300</v>
      </c>
      <c r="O30" s="13">
        <v>4020</v>
      </c>
      <c r="P30" s="13">
        <v>180</v>
      </c>
      <c r="Q30" s="13">
        <v>19</v>
      </c>
    </row>
    <row r="31" spans="1:17" ht="15.75" thickBot="1" x14ac:dyDescent="0.3">
      <c r="A31" s="3" t="s">
        <v>35</v>
      </c>
      <c r="B31" s="13">
        <f>AVERAGE(B29:B30)</f>
        <v>7.05</v>
      </c>
      <c r="C31" s="13">
        <f t="shared" ref="C31:Q31" si="8">AVERAGE(C29:C30)</f>
        <v>9.35</v>
      </c>
      <c r="D31" s="13">
        <f t="shared" si="8"/>
        <v>10.15</v>
      </c>
      <c r="E31" s="13">
        <f t="shared" si="8"/>
        <v>5.5E-2</v>
      </c>
      <c r="F31" s="13">
        <f t="shared" si="8"/>
        <v>1.73</v>
      </c>
      <c r="G31" s="13">
        <f t="shared" si="8"/>
        <v>168</v>
      </c>
      <c r="H31" s="13">
        <f t="shared" si="8"/>
        <v>100</v>
      </c>
      <c r="I31" s="13">
        <f t="shared" si="8"/>
        <v>820</v>
      </c>
      <c r="J31" s="13">
        <f t="shared" si="8"/>
        <v>22</v>
      </c>
      <c r="K31" s="13">
        <f t="shared" si="8"/>
        <v>475</v>
      </c>
      <c r="L31" s="13">
        <f t="shared" si="8"/>
        <v>565.5</v>
      </c>
      <c r="M31" s="13">
        <f t="shared" si="8"/>
        <v>700</v>
      </c>
      <c r="N31" s="13">
        <f t="shared" si="8"/>
        <v>2167.5</v>
      </c>
      <c r="O31" s="13">
        <f t="shared" si="8"/>
        <v>3785</v>
      </c>
      <c r="P31" s="13">
        <f t="shared" si="8"/>
        <v>190</v>
      </c>
      <c r="Q31" s="13">
        <f t="shared" si="8"/>
        <v>12</v>
      </c>
    </row>
    <row r="32" spans="1:17" ht="15.75" thickBot="1" x14ac:dyDescent="0.3">
      <c r="A32" s="22" t="s">
        <v>36</v>
      </c>
      <c r="B32" s="13">
        <v>7.1</v>
      </c>
      <c r="C32" s="13">
        <v>9.6999999999999993</v>
      </c>
      <c r="D32" s="13">
        <v>11</v>
      </c>
      <c r="E32" s="13">
        <v>0.03</v>
      </c>
      <c r="F32" s="13">
        <v>1.8</v>
      </c>
      <c r="G32" s="13">
        <v>160</v>
      </c>
      <c r="H32" s="13">
        <v>140</v>
      </c>
      <c r="I32" s="13">
        <v>960</v>
      </c>
      <c r="J32" s="13">
        <v>19</v>
      </c>
      <c r="K32" s="13">
        <v>731</v>
      </c>
      <c r="L32" s="13">
        <v>880</v>
      </c>
      <c r="M32" s="13">
        <v>930</v>
      </c>
      <c r="N32" s="13">
        <v>3010</v>
      </c>
      <c r="O32" s="13">
        <v>5240</v>
      </c>
      <c r="P32" s="13">
        <v>200</v>
      </c>
      <c r="Q32" s="13">
        <v>10</v>
      </c>
    </row>
    <row r="33" spans="1:17" ht="15.75" thickBot="1" x14ac:dyDescent="0.3">
      <c r="A33" s="23"/>
      <c r="B33" s="13">
        <v>7.1</v>
      </c>
      <c r="C33" s="13">
        <v>8.5</v>
      </c>
      <c r="D33" s="13">
        <v>7.1</v>
      </c>
      <c r="E33" s="13">
        <v>0.02</v>
      </c>
      <c r="F33" s="13">
        <v>1.5</v>
      </c>
      <c r="G33" s="13">
        <v>208</v>
      </c>
      <c r="H33" s="13">
        <v>100</v>
      </c>
      <c r="I33" s="13">
        <v>820</v>
      </c>
      <c r="J33" s="13">
        <v>29</v>
      </c>
      <c r="K33" s="13">
        <v>840</v>
      </c>
      <c r="L33" s="13">
        <v>830</v>
      </c>
      <c r="M33" s="13">
        <v>960</v>
      </c>
      <c r="N33" s="13">
        <v>3145</v>
      </c>
      <c r="O33" s="13">
        <v>5470</v>
      </c>
      <c r="P33" s="13">
        <v>240</v>
      </c>
      <c r="Q33" s="13">
        <v>15</v>
      </c>
    </row>
    <row r="34" spans="1:17" ht="15.75" thickBot="1" x14ac:dyDescent="0.3">
      <c r="A34" s="3" t="s">
        <v>37</v>
      </c>
      <c r="B34" s="13">
        <f>AVERAGE(B32:B33)</f>
        <v>7.1</v>
      </c>
      <c r="C34" s="13">
        <f t="shared" ref="C34:Q34" si="9">AVERAGE(C32:C33)</f>
        <v>9.1</v>
      </c>
      <c r="D34" s="13">
        <f t="shared" si="9"/>
        <v>9.0500000000000007</v>
      </c>
      <c r="E34" s="13">
        <f t="shared" si="9"/>
        <v>2.5000000000000001E-2</v>
      </c>
      <c r="F34" s="13">
        <f t="shared" si="9"/>
        <v>1.65</v>
      </c>
      <c r="G34" s="13">
        <f t="shared" si="9"/>
        <v>184</v>
      </c>
      <c r="H34" s="13">
        <f t="shared" si="9"/>
        <v>120</v>
      </c>
      <c r="I34" s="13">
        <f t="shared" si="9"/>
        <v>890</v>
      </c>
      <c r="J34" s="13">
        <f t="shared" si="9"/>
        <v>24</v>
      </c>
      <c r="K34" s="13">
        <f t="shared" si="9"/>
        <v>785.5</v>
      </c>
      <c r="L34" s="13">
        <f t="shared" si="9"/>
        <v>855</v>
      </c>
      <c r="M34" s="13">
        <f t="shared" si="9"/>
        <v>945</v>
      </c>
      <c r="N34" s="13">
        <f t="shared" si="9"/>
        <v>3077.5</v>
      </c>
      <c r="O34" s="13">
        <f t="shared" si="9"/>
        <v>5355</v>
      </c>
      <c r="P34" s="13">
        <f t="shared" si="9"/>
        <v>220</v>
      </c>
      <c r="Q34" s="13">
        <f t="shared" si="9"/>
        <v>12.5</v>
      </c>
    </row>
    <row r="35" spans="1:17" ht="15.75" thickBot="1" x14ac:dyDescent="0.3">
      <c r="A35" s="24" t="s">
        <v>38</v>
      </c>
      <c r="B35" s="13">
        <v>9.6</v>
      </c>
      <c r="C35" s="13">
        <v>12.5</v>
      </c>
      <c r="D35" s="13">
        <v>9.3000000000000007</v>
      </c>
      <c r="E35" s="13">
        <v>0.05</v>
      </c>
      <c r="F35" s="13">
        <v>1.1000000000000001</v>
      </c>
      <c r="G35" s="13">
        <v>208</v>
      </c>
      <c r="H35" s="13">
        <v>150</v>
      </c>
      <c r="I35" s="13">
        <v>1120</v>
      </c>
      <c r="J35" s="13">
        <v>25</v>
      </c>
      <c r="K35" s="13">
        <v>9.1999999999999993</v>
      </c>
      <c r="L35" s="13">
        <v>874</v>
      </c>
      <c r="M35" s="13">
        <v>1200</v>
      </c>
      <c r="N35" s="13">
        <v>3540</v>
      </c>
      <c r="O35" s="13">
        <v>6160</v>
      </c>
      <c r="P35" s="13">
        <v>240</v>
      </c>
      <c r="Q35" s="13">
        <v>43</v>
      </c>
    </row>
    <row r="36" spans="1:17" ht="15.75" thickBot="1" x14ac:dyDescent="0.3">
      <c r="A36" s="24"/>
      <c r="B36" s="13">
        <v>7.1</v>
      </c>
      <c r="C36" s="13">
        <v>14.4</v>
      </c>
      <c r="D36" s="13">
        <v>9.9</v>
      </c>
      <c r="E36" s="13">
        <v>0.02</v>
      </c>
      <c r="F36" s="13">
        <v>1.5</v>
      </c>
      <c r="G36" s="13">
        <v>264</v>
      </c>
      <c r="H36" s="13">
        <v>85</v>
      </c>
      <c r="I36" s="13">
        <v>1000</v>
      </c>
      <c r="J36" s="13">
        <v>18</v>
      </c>
      <c r="K36" s="13">
        <v>758</v>
      </c>
      <c r="L36" s="13">
        <v>800</v>
      </c>
      <c r="M36" s="13">
        <v>900</v>
      </c>
      <c r="N36" s="13">
        <v>2990</v>
      </c>
      <c r="O36" s="13">
        <v>5200</v>
      </c>
      <c r="P36" s="13">
        <v>220</v>
      </c>
      <c r="Q36" s="13">
        <v>21</v>
      </c>
    </row>
    <row r="37" spans="1:17" ht="15.75" thickBot="1" x14ac:dyDescent="0.3">
      <c r="A37" s="3" t="s">
        <v>39</v>
      </c>
      <c r="B37" s="13">
        <f>AVERAGE(B35:B36)</f>
        <v>8.35</v>
      </c>
      <c r="C37" s="13">
        <f t="shared" ref="C37:Q37" si="10">AVERAGE(C35:C36)</f>
        <v>13.45</v>
      </c>
      <c r="D37" s="13">
        <f t="shared" si="10"/>
        <v>9.6000000000000014</v>
      </c>
      <c r="E37" s="13">
        <f t="shared" si="10"/>
        <v>3.5000000000000003E-2</v>
      </c>
      <c r="F37" s="13">
        <f t="shared" si="10"/>
        <v>1.3</v>
      </c>
      <c r="G37" s="13">
        <f t="shared" si="10"/>
        <v>236</v>
      </c>
      <c r="H37" s="13">
        <f t="shared" si="10"/>
        <v>117.5</v>
      </c>
      <c r="I37" s="13">
        <f t="shared" si="10"/>
        <v>1060</v>
      </c>
      <c r="J37" s="13">
        <f t="shared" si="10"/>
        <v>21.5</v>
      </c>
      <c r="K37" s="13">
        <f t="shared" si="10"/>
        <v>383.6</v>
      </c>
      <c r="L37" s="13">
        <f t="shared" si="10"/>
        <v>837</v>
      </c>
      <c r="M37" s="13">
        <f t="shared" si="10"/>
        <v>1050</v>
      </c>
      <c r="N37" s="13">
        <f t="shared" si="10"/>
        <v>3265</v>
      </c>
      <c r="O37" s="13">
        <f t="shared" si="10"/>
        <v>5680</v>
      </c>
      <c r="P37" s="13">
        <f t="shared" si="10"/>
        <v>230</v>
      </c>
      <c r="Q37" s="13">
        <f t="shared" si="10"/>
        <v>32</v>
      </c>
    </row>
    <row r="38" spans="1:17" ht="15.75" thickBot="1" x14ac:dyDescent="0.3">
      <c r="A38" s="24" t="s">
        <v>40</v>
      </c>
      <c r="B38" s="13">
        <v>7.2</v>
      </c>
      <c r="C38" s="13">
        <v>10.8</v>
      </c>
      <c r="D38" s="13">
        <v>10</v>
      </c>
      <c r="E38" s="13">
        <v>7.0000000000000007E-2</v>
      </c>
      <c r="F38" s="13">
        <v>1.8</v>
      </c>
      <c r="G38" s="13">
        <v>240</v>
      </c>
      <c r="H38" s="13">
        <v>130</v>
      </c>
      <c r="I38" s="13">
        <v>1120</v>
      </c>
      <c r="J38" s="13">
        <v>23</v>
      </c>
      <c r="K38" s="13">
        <v>770</v>
      </c>
      <c r="L38" s="13">
        <v>700</v>
      </c>
      <c r="M38" s="13">
        <v>950</v>
      </c>
      <c r="N38" s="13">
        <v>2960</v>
      </c>
      <c r="O38" s="13">
        <v>5280</v>
      </c>
      <c r="P38" s="13">
        <v>200</v>
      </c>
      <c r="Q38" s="13">
        <v>19</v>
      </c>
    </row>
    <row r="39" spans="1:17" ht="15.75" thickBot="1" x14ac:dyDescent="0.3">
      <c r="A39" s="24"/>
      <c r="B39" s="13">
        <v>7.2</v>
      </c>
      <c r="C39" s="13">
        <v>12.2</v>
      </c>
      <c r="D39" s="13">
        <v>10.3</v>
      </c>
      <c r="E39" s="13">
        <v>0.03</v>
      </c>
      <c r="F39" s="13">
        <v>1.4</v>
      </c>
      <c r="G39" s="13">
        <v>224</v>
      </c>
      <c r="H39" s="13">
        <v>100</v>
      </c>
      <c r="I39" s="13">
        <v>960</v>
      </c>
      <c r="J39" s="13">
        <v>18.600000000000001</v>
      </c>
      <c r="K39" s="13">
        <v>656</v>
      </c>
      <c r="L39" s="13">
        <v>700</v>
      </c>
      <c r="M39" s="13">
        <v>870</v>
      </c>
      <c r="N39" s="13">
        <v>2740</v>
      </c>
      <c r="O39" s="13">
        <v>4800</v>
      </c>
      <c r="P39" s="13">
        <v>240</v>
      </c>
      <c r="Q39" s="13">
        <v>27</v>
      </c>
    </row>
    <row r="40" spans="1:17" ht="15.75" thickBot="1" x14ac:dyDescent="0.3">
      <c r="A40" s="3" t="s">
        <v>41</v>
      </c>
      <c r="B40" s="13">
        <f>AVERAGE(B38:B39)</f>
        <v>7.2</v>
      </c>
      <c r="C40" s="13">
        <f t="shared" ref="C40:Q40" si="11">AVERAGE(C38:C39)</f>
        <v>11.5</v>
      </c>
      <c r="D40" s="13">
        <f t="shared" si="11"/>
        <v>10.15</v>
      </c>
      <c r="E40" s="13">
        <f t="shared" si="11"/>
        <v>0.05</v>
      </c>
      <c r="F40" s="13">
        <f t="shared" si="11"/>
        <v>1.6</v>
      </c>
      <c r="G40" s="13">
        <f t="shared" si="11"/>
        <v>232</v>
      </c>
      <c r="H40" s="13">
        <f t="shared" si="11"/>
        <v>115</v>
      </c>
      <c r="I40" s="13">
        <f t="shared" si="11"/>
        <v>1040</v>
      </c>
      <c r="J40" s="13">
        <f t="shared" si="11"/>
        <v>20.8</v>
      </c>
      <c r="K40" s="13">
        <f t="shared" si="11"/>
        <v>713</v>
      </c>
      <c r="L40" s="13">
        <f t="shared" si="11"/>
        <v>700</v>
      </c>
      <c r="M40" s="13">
        <f t="shared" si="11"/>
        <v>910</v>
      </c>
      <c r="N40" s="13">
        <f t="shared" si="11"/>
        <v>2850</v>
      </c>
      <c r="O40" s="13">
        <f t="shared" si="11"/>
        <v>5040</v>
      </c>
      <c r="P40" s="13">
        <f t="shared" si="11"/>
        <v>220</v>
      </c>
      <c r="Q40" s="13">
        <f t="shared" si="11"/>
        <v>23</v>
      </c>
    </row>
    <row r="41" spans="1:17" ht="15.75" thickBot="1" x14ac:dyDescent="0.3">
      <c r="A41" s="24" t="s">
        <v>42</v>
      </c>
      <c r="B41" s="13">
        <v>7</v>
      </c>
      <c r="C41" s="13">
        <v>14.9</v>
      </c>
      <c r="D41" s="13">
        <v>7.6</v>
      </c>
      <c r="E41" s="13">
        <v>0.02</v>
      </c>
      <c r="F41" s="13">
        <v>1.4</v>
      </c>
      <c r="G41" s="13">
        <v>224</v>
      </c>
      <c r="H41" s="13">
        <v>130</v>
      </c>
      <c r="I41" s="13">
        <v>1080</v>
      </c>
      <c r="J41" s="13">
        <v>16</v>
      </c>
      <c r="K41" s="13">
        <v>750</v>
      </c>
      <c r="L41" s="13">
        <v>730</v>
      </c>
      <c r="M41" s="13">
        <v>1060</v>
      </c>
      <c r="N41" s="13">
        <v>3090</v>
      </c>
      <c r="O41" s="13">
        <v>5390</v>
      </c>
      <c r="P41" s="13">
        <v>240</v>
      </c>
      <c r="Q41" s="13">
        <v>26</v>
      </c>
    </row>
    <row r="42" spans="1:17" ht="15.75" thickBot="1" x14ac:dyDescent="0.3">
      <c r="A42" s="24"/>
      <c r="B42" s="13">
        <v>7</v>
      </c>
      <c r="C42" s="13">
        <v>13.8</v>
      </c>
      <c r="D42" s="13">
        <v>7.5</v>
      </c>
      <c r="E42" s="13">
        <v>0.1</v>
      </c>
      <c r="F42" s="13">
        <v>1.6</v>
      </c>
      <c r="G42" s="13">
        <v>176</v>
      </c>
      <c r="H42" s="13">
        <v>130</v>
      </c>
      <c r="I42" s="13">
        <v>960</v>
      </c>
      <c r="J42" s="13">
        <v>13</v>
      </c>
      <c r="K42" s="13">
        <v>680</v>
      </c>
      <c r="L42" s="13">
        <v>736</v>
      </c>
      <c r="M42" s="13">
        <v>950</v>
      </c>
      <c r="N42" s="13">
        <v>2830</v>
      </c>
      <c r="O42" s="13">
        <v>4920</v>
      </c>
      <c r="P42" s="13">
        <v>220</v>
      </c>
      <c r="Q42" s="13">
        <v>9</v>
      </c>
    </row>
    <row r="43" spans="1:17" ht="15.75" thickBot="1" x14ac:dyDescent="0.3">
      <c r="A43" s="3" t="s">
        <v>43</v>
      </c>
      <c r="B43" s="13">
        <f>AVERAGE(B41:B42)</f>
        <v>7</v>
      </c>
      <c r="C43" s="13">
        <f t="shared" ref="C43:Q43" si="12">AVERAGE(C41:C42)</f>
        <v>14.350000000000001</v>
      </c>
      <c r="D43" s="13">
        <f t="shared" si="12"/>
        <v>7.55</v>
      </c>
      <c r="E43" s="13">
        <f t="shared" si="12"/>
        <v>6.0000000000000005E-2</v>
      </c>
      <c r="F43" s="13">
        <f t="shared" si="12"/>
        <v>1.5</v>
      </c>
      <c r="G43" s="13">
        <f t="shared" si="12"/>
        <v>200</v>
      </c>
      <c r="H43" s="13">
        <f t="shared" si="12"/>
        <v>130</v>
      </c>
      <c r="I43" s="13">
        <f t="shared" si="12"/>
        <v>1020</v>
      </c>
      <c r="J43" s="13">
        <f t="shared" si="12"/>
        <v>14.5</v>
      </c>
      <c r="K43" s="13">
        <f t="shared" si="12"/>
        <v>715</v>
      </c>
      <c r="L43" s="13">
        <f t="shared" si="12"/>
        <v>733</v>
      </c>
      <c r="M43" s="13">
        <f t="shared" si="12"/>
        <v>1005</v>
      </c>
      <c r="N43" s="13">
        <f t="shared" si="12"/>
        <v>2960</v>
      </c>
      <c r="O43" s="13">
        <f t="shared" si="12"/>
        <v>5155</v>
      </c>
      <c r="P43" s="13">
        <f t="shared" si="12"/>
        <v>230</v>
      </c>
      <c r="Q43" s="13">
        <f t="shared" si="12"/>
        <v>17.5</v>
      </c>
    </row>
    <row r="44" spans="1:17" ht="15.75" thickBot="1" x14ac:dyDescent="0.3">
      <c r="A44" s="24" t="s">
        <v>44</v>
      </c>
      <c r="B44" s="13">
        <v>7</v>
      </c>
      <c r="C44" s="13">
        <v>15.4</v>
      </c>
      <c r="D44" s="13">
        <v>8.4</v>
      </c>
      <c r="E44" s="13">
        <v>0.04</v>
      </c>
      <c r="F44" s="13">
        <v>1.1000000000000001</v>
      </c>
      <c r="G44" s="13">
        <v>208</v>
      </c>
      <c r="H44" s="13">
        <v>100</v>
      </c>
      <c r="I44" s="13">
        <v>920</v>
      </c>
      <c r="J44" s="13">
        <v>22</v>
      </c>
      <c r="K44" s="13">
        <v>655</v>
      </c>
      <c r="L44" s="13">
        <v>728</v>
      </c>
      <c r="M44" s="13">
        <v>850</v>
      </c>
      <c r="N44" s="13">
        <v>2740</v>
      </c>
      <c r="O44" s="13">
        <v>4810</v>
      </c>
      <c r="P44" s="13">
        <v>240</v>
      </c>
      <c r="Q44" s="13">
        <v>5</v>
      </c>
    </row>
    <row r="45" spans="1:17" ht="15.75" thickBot="1" x14ac:dyDescent="0.3">
      <c r="A45" s="24"/>
      <c r="B45" s="13">
        <v>7.2</v>
      </c>
      <c r="C45" s="13">
        <v>15.6</v>
      </c>
      <c r="D45" s="13">
        <v>7.4</v>
      </c>
      <c r="E45" s="13">
        <v>7.0000000000000007E-2</v>
      </c>
      <c r="F45" s="13">
        <v>2.6</v>
      </c>
      <c r="G45" s="13">
        <v>176</v>
      </c>
      <c r="H45" s="13">
        <v>120</v>
      </c>
      <c r="I45" s="13">
        <v>920</v>
      </c>
      <c r="J45" s="13">
        <v>36</v>
      </c>
      <c r="K45" s="13">
        <v>740</v>
      </c>
      <c r="L45" s="13">
        <v>760</v>
      </c>
      <c r="M45" s="13">
        <v>850</v>
      </c>
      <c r="N45" s="13">
        <v>2850</v>
      </c>
      <c r="O45" s="13">
        <v>5000</v>
      </c>
      <c r="P45" s="13">
        <v>200</v>
      </c>
      <c r="Q45" s="13">
        <v>33</v>
      </c>
    </row>
    <row r="46" spans="1:17" ht="15.75" thickBot="1" x14ac:dyDescent="0.3">
      <c r="A46" s="3" t="s">
        <v>20</v>
      </c>
      <c r="B46" s="13">
        <f>AVERAGE(B44:B45)</f>
        <v>7.1</v>
      </c>
      <c r="C46" s="13">
        <f t="shared" ref="C46:Q46" si="13">AVERAGE(C44:C45)</f>
        <v>15.5</v>
      </c>
      <c r="D46" s="13">
        <f t="shared" si="13"/>
        <v>7.9</v>
      </c>
      <c r="E46" s="13">
        <f t="shared" si="13"/>
        <v>5.5000000000000007E-2</v>
      </c>
      <c r="F46" s="13">
        <f t="shared" si="13"/>
        <v>1.85</v>
      </c>
      <c r="G46" s="13">
        <f t="shared" si="13"/>
        <v>192</v>
      </c>
      <c r="H46" s="13">
        <f t="shared" si="13"/>
        <v>110</v>
      </c>
      <c r="I46" s="13">
        <f t="shared" si="13"/>
        <v>920</v>
      </c>
      <c r="J46" s="13">
        <f t="shared" si="13"/>
        <v>29</v>
      </c>
      <c r="K46" s="13">
        <f t="shared" si="13"/>
        <v>697.5</v>
      </c>
      <c r="L46" s="13">
        <f t="shared" si="13"/>
        <v>744</v>
      </c>
      <c r="M46" s="13">
        <f t="shared" si="13"/>
        <v>850</v>
      </c>
      <c r="N46" s="13">
        <f t="shared" si="13"/>
        <v>2795</v>
      </c>
      <c r="O46" s="13">
        <f t="shared" si="13"/>
        <v>4905</v>
      </c>
      <c r="P46" s="13">
        <f t="shared" si="13"/>
        <v>220</v>
      </c>
      <c r="Q46" s="13">
        <f t="shared" si="13"/>
        <v>19</v>
      </c>
    </row>
  </sheetData>
  <mergeCells count="15">
    <mergeCell ref="A38:A39"/>
    <mergeCell ref="A41:A42"/>
    <mergeCell ref="A44:A45"/>
    <mergeCell ref="A22:A23"/>
    <mergeCell ref="A25:A26"/>
    <mergeCell ref="B28:Q28"/>
    <mergeCell ref="A29:A30"/>
    <mergeCell ref="A32:A33"/>
    <mergeCell ref="A35:A36"/>
    <mergeCell ref="A4:A5"/>
    <mergeCell ref="A7:A8"/>
    <mergeCell ref="A10:A11"/>
    <mergeCell ref="A13:A14"/>
    <mergeCell ref="A16:A17"/>
    <mergeCell ref="A19:A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alMasarcc</cp:lastModifiedBy>
  <dcterms:created xsi:type="dcterms:W3CDTF">2023-08-19T10:12:39Z</dcterms:created>
  <dcterms:modified xsi:type="dcterms:W3CDTF">2023-08-26T06:30:57Z</dcterms:modified>
</cp:coreProperties>
</file>